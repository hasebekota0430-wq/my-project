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次" sheetId="1" state="visible" r:id="rId1"/>
    <sheet name="①等級・職位マスタ" sheetId="2" state="visible" r:id="rId2"/>
    <sheet name="②社員台帳" sheetId="3" state="visible" r:id="rId3"/>
    <sheet name="③目標管理（MBO）" sheetId="4" state="visible" r:id="rId4"/>
    <sheet name="④人事評価シート" sheetId="5" state="visible" r:id="rId5"/>
    <sheet name="⑤昇格・降格管理" sheetId="6" state="visible" r:id="rId6"/>
    <sheet name="⑥給与・報酬管理" sheetId="7" state="visible" r:id="rId7"/>
    <sheet name="⑦採用管理" sheetId="8" state="visible" r:id="rId8"/>
    <sheet name="⑧研修・育成管理" sheetId="9" state="visible" r:id="rId9"/>
    <sheet name="⑨入退社管理" sheetId="10" state="visible" r:id="rId10"/>
  </sheets>
  <definedNames>
    <definedName name="_xlnm.Print_Titles" localSheetId="0">'目次'!$1:$2</definedName>
    <definedName name="_xlnm.Print_Titles" localSheetId="1">'①等級・職位マスタ'!$1:$2</definedName>
    <definedName name="_xlnm.Print_Titles" localSheetId="2">'②社員台帳'!$1:$2</definedName>
    <definedName name="_xlnm.Print_Titles" localSheetId="3">'③目標管理（MBO）'!$1:$2</definedName>
    <definedName name="_xlnm.Print_Titles" localSheetId="4">'④人事評価シート'!$1:$2</definedName>
    <definedName name="_xlnm.Print_Titles" localSheetId="5">'⑤昇格・降格管理'!$1:$2</definedName>
    <definedName name="_xlnm.Print_Titles" localSheetId="6">'⑥給与・報酬管理'!$1:$2</definedName>
    <definedName name="_xlnm.Print_Titles" localSheetId="7">'⑦採用管理'!$1:$2</definedName>
    <definedName name="_xlnm.Print_Titles" localSheetId="8">'⑧研修・育成管理'!$1:$2</definedName>
    <definedName name="_xlnm.Print_Titles" localSheetId="9">'⑨入退社管理'!$1:$2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游ゴシック"/>
      <b val="1"/>
      <color rgb="001F4E79"/>
      <sz val="14"/>
    </font>
    <font>
      <name val="游ゴシック"/>
      <b val="1"/>
      <color rgb="00FFFFFF"/>
      <sz val="10"/>
    </font>
    <font>
      <name val="游ゴシック"/>
      <sz val="10"/>
    </font>
    <font>
      <name val="游ゴシック"/>
      <b val="1"/>
      <sz val="10"/>
    </font>
    <font>
      <name val="游ゴシック"/>
      <i val="1"/>
      <color rgb="007F7F7F"/>
      <sz val="9"/>
    </font>
    <font>
      <name val="游ゴシック"/>
      <b val="1"/>
      <color rgb="00FFFFFF"/>
      <sz val="11"/>
    </font>
    <font>
      <name val="游ゴシック"/>
      <b val="1"/>
      <color rgb="00C00000"/>
      <sz val="9"/>
    </font>
    <font>
      <name val="游ゴシック"/>
      <i val="1"/>
      <sz val="9"/>
    </font>
    <font>
      <name val="游ゴシック"/>
      <b val="1"/>
      <color rgb="00FFFFFF"/>
      <sz val="9"/>
    </font>
  </fonts>
  <fills count="13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4472C4"/>
      </patternFill>
    </fill>
  </fills>
  <borders count="11">
    <border>
      <left/>
      <right/>
      <top/>
      <bottom/>
      <diagonal/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/>
      <right/>
      <top style="medium">
        <color rgb="001F4E79"/>
      </top>
      <bottom/>
      <diagonal/>
    </border>
    <border>
      <left/>
      <right style="medium">
        <color rgb="001F4E79"/>
      </right>
      <top style="medium">
        <color rgb="001F4E79"/>
      </top>
      <bottom/>
      <diagonal/>
    </border>
    <border>
      <left/>
      <right/>
      <top style="medium">
        <color rgb="001F4E79"/>
      </top>
      <bottom style="medium">
        <color rgb="001F4E79"/>
      </bottom>
      <diagonal/>
    </border>
    <border>
      <left/>
      <right style="medium">
        <color rgb="001F4E79"/>
      </right>
      <top style="medium">
        <color rgb="001F4E79"/>
      </top>
      <bottom style="medium">
        <color rgb="001F4E79"/>
      </bottom>
      <diagonal/>
    </border>
    <border>
      <left style="thin">
        <color rgb="004472C4"/>
      </left>
      <right style="thin">
        <color rgb="004472C4"/>
      </right>
      <top style="thin">
        <color rgb="004472C4"/>
      </top>
      <bottom style="thin">
        <color rgb="004472C4"/>
      </bottom>
    </border>
    <border>
      <left/>
      <right/>
      <top style="thin">
        <color rgb="004472C4"/>
      </top>
      <bottom/>
      <diagonal/>
    </border>
    <border>
      <left/>
      <right style="thin">
        <color rgb="004472C4"/>
      </right>
      <top style="thin">
        <color rgb="004472C4"/>
      </top>
      <bottom/>
      <diagonal/>
    </border>
    <border>
      <left/>
      <right/>
      <top style="thin">
        <color rgb="004472C4"/>
      </top>
      <bottom style="thin">
        <color rgb="004472C4"/>
      </bottom>
      <diagonal/>
    </border>
    <border>
      <left/>
      <right style="thin">
        <color rgb="004472C4"/>
      </right>
      <top style="thin">
        <color rgb="004472C4"/>
      </top>
      <bottom style="thin">
        <color rgb="004472C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left" vertical="center" wrapText="1"/>
    </xf>
    <xf numFmtId="0" fontId="3" fillId="4" borderId="6" applyAlignment="1" pivotButton="0" quotePrefix="0" xfId="0">
      <alignment horizontal="left" vertical="center" wrapText="1"/>
    </xf>
    <xf numFmtId="0" fontId="3" fillId="5" borderId="6" applyAlignment="1" pivotButton="0" quotePrefix="0" xfId="0">
      <alignment horizontal="center" vertical="center" wrapText="1"/>
    </xf>
    <xf numFmtId="0" fontId="4" fillId="5" borderId="6" applyAlignment="1" pivotButton="0" quotePrefix="0" xfId="0">
      <alignment horizontal="left" vertical="center" wrapText="1"/>
    </xf>
    <xf numFmtId="0" fontId="3" fillId="5" borderId="6" applyAlignment="1" pivotButton="0" quotePrefix="0" xfId="0">
      <alignment horizontal="left" vertical="center" wrapText="1"/>
    </xf>
    <xf numFmtId="0" fontId="5" fillId="6" borderId="6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6" fillId="7" borderId="6" applyAlignment="1" pivotButton="0" quotePrefix="0" xfId="0">
      <alignment horizontal="center" vertical="center" wrapText="1"/>
    </xf>
    <xf numFmtId="0" fontId="7" fillId="8" borderId="6" applyAlignment="1" pivotButton="0" quotePrefix="0" xfId="0">
      <alignment horizontal="left" vertical="center" wrapText="1"/>
    </xf>
    <xf numFmtId="0" fontId="4" fillId="9" borderId="6" applyAlignment="1" pivotButton="0" quotePrefix="0" xfId="0">
      <alignment horizontal="right" vertical="center" wrapText="1"/>
    </xf>
    <xf numFmtId="0" fontId="4" fillId="6" borderId="6" applyAlignment="1" pivotButton="0" quotePrefix="0" xfId="0">
      <alignment horizontal="left" vertical="center" wrapText="1"/>
    </xf>
    <xf numFmtId="0" fontId="3" fillId="6" borderId="6" applyAlignment="1" pivotButton="0" quotePrefix="0" xfId="0">
      <alignment horizontal="left" vertical="center" wrapText="1"/>
    </xf>
    <xf numFmtId="0" fontId="3" fillId="10" borderId="6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left" vertical="center" wrapText="1"/>
    </xf>
    <xf numFmtId="0" fontId="4" fillId="9" borderId="6" applyAlignment="1" pivotButton="0" quotePrefix="0" xfId="0">
      <alignment horizontal="left" vertical="center" wrapText="1"/>
    </xf>
    <xf numFmtId="0" fontId="8" fillId="6" borderId="6" applyAlignment="1" pivotButton="0" quotePrefix="0" xfId="0">
      <alignment horizontal="left" vertical="center" wrapText="1"/>
    </xf>
    <xf numFmtId="0" fontId="3" fillId="6" borderId="6" applyAlignment="1" pivotButton="0" quotePrefix="0" xfId="0">
      <alignment horizontal="center" vertical="center" wrapText="1"/>
    </xf>
    <xf numFmtId="0" fontId="4" fillId="10" borderId="6" applyAlignment="1" pivotButton="0" quotePrefix="0" xfId="0">
      <alignment horizontal="center" vertical="center" wrapText="1"/>
    </xf>
    <xf numFmtId="3" fontId="3" fillId="4" borderId="6" applyAlignment="1" pivotButton="0" quotePrefix="0" xfId="0">
      <alignment horizontal="right" vertical="center" wrapText="1"/>
    </xf>
    <xf numFmtId="3" fontId="3" fillId="5" borderId="6" applyAlignment="1" pivotButton="0" quotePrefix="0" xfId="0">
      <alignment horizontal="right" vertical="center" wrapText="1"/>
    </xf>
    <xf numFmtId="0" fontId="3" fillId="11" borderId="6" applyAlignment="1" pivotButton="0" quotePrefix="0" xfId="0">
      <alignment horizontal="center" vertical="center" wrapText="1"/>
    </xf>
    <xf numFmtId="0" fontId="9" fillId="12" borderId="6" applyAlignment="1" pivotButton="0" quotePrefix="0" xfId="0">
      <alignment horizontal="center" vertical="center" wrapText="1"/>
    </xf>
    <xf numFmtId="0" fontId="3" fillId="8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50" customWidth="1" min="3" max="3"/>
    <col width="16" customWidth="1" min="4" max="4"/>
  </cols>
  <sheetData>
    <row r="1" ht="32" customHeight="1">
      <c r="A1" s="1" t="inlineStr">
        <is>
          <t>人事制度運用フォーマット　目次</t>
        </is>
      </c>
      <c r="B1" s="2" t="n"/>
      <c r="C1" s="2" t="n"/>
      <c r="D1" s="3" t="n"/>
    </row>
    <row r="2" ht="22" customHeight="1">
      <c r="A2" s="4" t="inlineStr">
        <is>
          <t>No.</t>
        </is>
      </c>
      <c r="B2" s="4" t="inlineStr">
        <is>
          <t>シート名</t>
        </is>
      </c>
      <c r="C2" s="4" t="inlineStr">
        <is>
          <t>用途・概要</t>
        </is>
      </c>
      <c r="D2" s="4" t="inlineStr">
        <is>
          <t>更新頻度</t>
        </is>
      </c>
    </row>
    <row r="3" ht="20" customHeight="1">
      <c r="A3" s="5" t="n">
        <v>1</v>
      </c>
      <c r="B3" s="6" t="inlineStr">
        <is>
          <t>①等級・職位マスタ</t>
        </is>
      </c>
      <c r="C3" s="7" t="inlineStr">
        <is>
          <t>等級定義・職位一覧・昇格要件</t>
        </is>
      </c>
      <c r="D3" s="5" t="inlineStr">
        <is>
          <t>年1回以上</t>
        </is>
      </c>
    </row>
    <row r="4" ht="20" customHeight="1">
      <c r="A4" s="8" t="n">
        <v>2</v>
      </c>
      <c r="B4" s="9" t="inlineStr">
        <is>
          <t>②社員台帳</t>
        </is>
      </c>
      <c r="C4" s="10" t="inlineStr">
        <is>
          <t>全社員の基本情報・等級・雇用情報</t>
        </is>
      </c>
      <c r="D4" s="8" t="inlineStr">
        <is>
          <t>随時</t>
        </is>
      </c>
    </row>
    <row r="5" ht="20" customHeight="1">
      <c r="A5" s="5" t="n">
        <v>3</v>
      </c>
      <c r="B5" s="6" t="inlineStr">
        <is>
          <t>③目標管理（MBO）</t>
        </is>
      </c>
      <c r="C5" s="7" t="inlineStr">
        <is>
          <t>期初目標設定／期末評価記録</t>
        </is>
      </c>
      <c r="D5" s="5" t="inlineStr">
        <is>
          <t>半期ごと</t>
        </is>
      </c>
    </row>
    <row r="6" ht="20" customHeight="1">
      <c r="A6" s="8" t="n">
        <v>4</v>
      </c>
      <c r="B6" s="9" t="inlineStr">
        <is>
          <t>④人事評価シート</t>
        </is>
      </c>
      <c r="C6" s="10" t="inlineStr">
        <is>
          <t>一次評価・二次評価・最終評価</t>
        </is>
      </c>
      <c r="D6" s="8" t="inlineStr">
        <is>
          <t>半期ごと</t>
        </is>
      </c>
    </row>
    <row r="7" ht="20" customHeight="1">
      <c r="A7" s="5" t="n">
        <v>5</v>
      </c>
      <c r="B7" s="6" t="inlineStr">
        <is>
          <t>⑤昇格・降格管理</t>
        </is>
      </c>
      <c r="C7" s="7" t="inlineStr">
        <is>
          <t>昇降格申請・審査・承認フロー</t>
        </is>
      </c>
      <c r="D7" s="5" t="inlineStr">
        <is>
          <t>随時</t>
        </is>
      </c>
    </row>
    <row r="8" ht="20" customHeight="1">
      <c r="A8" s="8" t="n">
        <v>6</v>
      </c>
      <c r="B8" s="9" t="inlineStr">
        <is>
          <t>⑥給与・報酬管理</t>
        </is>
      </c>
      <c r="C8" s="10" t="inlineStr">
        <is>
          <t>基本給・手当・賞与の管理</t>
        </is>
      </c>
      <c r="D8" s="8" t="inlineStr">
        <is>
          <t>月次/年次</t>
        </is>
      </c>
    </row>
    <row r="9" ht="20" customHeight="1">
      <c r="A9" s="5" t="n">
        <v>7</v>
      </c>
      <c r="B9" s="6" t="inlineStr">
        <is>
          <t>⑦採用管理</t>
        </is>
      </c>
      <c r="C9" s="7" t="inlineStr">
        <is>
          <t>採用計画・選考状況・内定管理</t>
        </is>
      </c>
      <c r="D9" s="5" t="inlineStr">
        <is>
          <t>随時</t>
        </is>
      </c>
    </row>
    <row r="10" ht="20" customHeight="1">
      <c r="A10" s="8" t="n">
        <v>8</v>
      </c>
      <c r="B10" s="9" t="inlineStr">
        <is>
          <t>⑧研修・育成管理</t>
        </is>
      </c>
      <c r="C10" s="10" t="inlineStr">
        <is>
          <t>受講記録・スキルマップ</t>
        </is>
      </c>
      <c r="D10" s="8" t="inlineStr">
        <is>
          <t>随時</t>
        </is>
      </c>
    </row>
    <row r="11" ht="20" customHeight="1">
      <c r="A11" s="5" t="n">
        <v>9</v>
      </c>
      <c r="B11" s="6" t="inlineStr">
        <is>
          <t>⑨入退社管理</t>
        </is>
      </c>
      <c r="C11" s="7" t="inlineStr">
        <is>
          <t>入社手続き・退社手続きチェック</t>
        </is>
      </c>
      <c r="D11" s="5" t="inlineStr">
        <is>
          <t>随時</t>
        </is>
      </c>
    </row>
    <row r="12" ht="20" customHeight="1"/>
    <row r="13">
      <c r="A13" s="11" t="inlineStr">
        <is>
          <t>※ 本フォーマットは叩き台です。貴社制度に合わせて適宜修正してください。</t>
        </is>
      </c>
      <c r="B13" s="12" t="n"/>
      <c r="C13" s="12" t="n"/>
      <c r="D13" s="13" t="n"/>
    </row>
  </sheetData>
  <mergeCells count="2">
    <mergeCell ref="A1:D1"/>
    <mergeCell ref="A13:D13"/>
  </mergeCells>
  <pageMargins left="0.75" right="0.7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4" customWidth="1" min="4" max="4"/>
    <col width="42" customWidth="1" min="5" max="5"/>
    <col width="16" customWidth="1" min="6" max="6"/>
    <col width="16" customWidth="1" min="7" max="7"/>
  </cols>
  <sheetData>
    <row r="1" ht="28" customHeight="1">
      <c r="A1" s="1" t="inlineStr">
        <is>
          <t>等級・職位マスタ</t>
        </is>
      </c>
      <c r="B1" s="2" t="n"/>
      <c r="C1" s="2" t="n"/>
      <c r="D1" s="2" t="n"/>
      <c r="E1" s="2" t="n"/>
      <c r="F1" s="2" t="n"/>
      <c r="G1" s="3" t="n"/>
    </row>
    <row r="2" ht="22" customHeight="1">
      <c r="A2" s="14" t="inlineStr">
        <is>
          <t>等級コード</t>
        </is>
      </c>
      <c r="B2" s="14" t="inlineStr">
        <is>
          <t>等級名称</t>
        </is>
      </c>
      <c r="C2" s="14" t="inlineStr">
        <is>
          <t>職位名称</t>
        </is>
      </c>
      <c r="D2" s="14" t="inlineStr">
        <is>
          <t>役職区分</t>
        </is>
      </c>
      <c r="E2" s="14" t="inlineStr">
        <is>
          <t>職務・役割の定義（概要）</t>
        </is>
      </c>
      <c r="F2" s="14" t="inlineStr">
        <is>
          <t>給与レンジ下限</t>
        </is>
      </c>
      <c r="G2" s="14" t="inlineStr">
        <is>
          <t>給与レンジ上限</t>
        </is>
      </c>
    </row>
    <row r="3" ht="20" customHeight="1">
      <c r="A3" s="5" t="inlineStr">
        <is>
          <t>G1</t>
        </is>
      </c>
      <c r="B3" s="7" t="inlineStr">
        <is>
          <t>スタッフ1級</t>
        </is>
      </c>
      <c r="C3" s="7" t="inlineStr">
        <is>
          <t>一般社員</t>
        </is>
      </c>
      <c r="D3" s="5" t="inlineStr">
        <is>
          <t>一般職</t>
        </is>
      </c>
      <c r="E3" s="7" t="inlineStr">
        <is>
          <t>指示のもと定型業務を遂行する</t>
        </is>
      </c>
      <c r="F3" s="5" t="inlineStr">
        <is>
          <t>200,000</t>
        </is>
      </c>
      <c r="G3" s="5" t="inlineStr">
        <is>
          <t>250,000</t>
        </is>
      </c>
    </row>
    <row r="4" ht="20" customHeight="1">
      <c r="A4" s="8" t="inlineStr">
        <is>
          <t>G2</t>
        </is>
      </c>
      <c r="B4" s="10" t="inlineStr">
        <is>
          <t>スタッフ2級</t>
        </is>
      </c>
      <c r="C4" s="10" t="inlineStr">
        <is>
          <t>シニアスタッフ</t>
        </is>
      </c>
      <c r="D4" s="8" t="inlineStr">
        <is>
          <t>一般職</t>
        </is>
      </c>
      <c r="E4" s="10" t="inlineStr">
        <is>
          <t>自律的に定型業務を遂行・後輩指導を担う</t>
        </is>
      </c>
      <c r="F4" s="8" t="inlineStr">
        <is>
          <t>250,000</t>
        </is>
      </c>
      <c r="G4" s="8" t="inlineStr">
        <is>
          <t>310,000</t>
        </is>
      </c>
    </row>
    <row r="5" ht="20" customHeight="1">
      <c r="A5" s="5" t="inlineStr">
        <is>
          <t>G3</t>
        </is>
      </c>
      <c r="B5" s="7" t="inlineStr">
        <is>
          <t>リーダー1級</t>
        </is>
      </c>
      <c r="C5" s="7" t="inlineStr">
        <is>
          <t>チームリーダー</t>
        </is>
      </c>
      <c r="D5" s="5" t="inlineStr">
        <is>
          <t>管理職</t>
        </is>
      </c>
      <c r="E5" s="7" t="inlineStr">
        <is>
          <t>小チームをマネジメントし業務推進を図る</t>
        </is>
      </c>
      <c r="F5" s="5" t="inlineStr">
        <is>
          <t>310,000</t>
        </is>
      </c>
      <c r="G5" s="5" t="inlineStr">
        <is>
          <t>380,000</t>
        </is>
      </c>
    </row>
    <row r="6" ht="20" customHeight="1">
      <c r="A6" s="8" t="inlineStr">
        <is>
          <t>G4</t>
        </is>
      </c>
      <c r="B6" s="10" t="inlineStr">
        <is>
          <t>リーダー2級</t>
        </is>
      </c>
      <c r="C6" s="10" t="inlineStr">
        <is>
          <t>課長代理</t>
        </is>
      </c>
      <c r="D6" s="8" t="inlineStr">
        <is>
          <t>管理職</t>
        </is>
      </c>
      <c r="E6" s="10" t="inlineStr">
        <is>
          <t>課内の目標達成・人材育成を推進する</t>
        </is>
      </c>
      <c r="F6" s="8" t="inlineStr">
        <is>
          <t>380,000</t>
        </is>
      </c>
      <c r="G6" s="8" t="inlineStr">
        <is>
          <t>450,000</t>
        </is>
      </c>
    </row>
    <row r="7" ht="20" customHeight="1">
      <c r="A7" s="5" t="inlineStr">
        <is>
          <t>G5</t>
        </is>
      </c>
      <c r="B7" s="7" t="inlineStr">
        <is>
          <t>マネジャー1級</t>
        </is>
      </c>
      <c r="C7" s="7" t="inlineStr">
        <is>
          <t>課長</t>
        </is>
      </c>
      <c r="D7" s="5" t="inlineStr">
        <is>
          <t>管理職</t>
        </is>
      </c>
      <c r="E7" s="7" t="inlineStr">
        <is>
          <t>課の方針策定・組織運営・P&amp;L管理</t>
        </is>
      </c>
      <c r="F7" s="5" t="inlineStr">
        <is>
          <t>450,000</t>
        </is>
      </c>
      <c r="G7" s="5" t="inlineStr">
        <is>
          <t>540,000</t>
        </is>
      </c>
    </row>
    <row r="8" ht="20" customHeight="1">
      <c r="A8" s="8" t="inlineStr">
        <is>
          <t>G6</t>
        </is>
      </c>
      <c r="B8" s="10" t="inlineStr">
        <is>
          <t>マネジャー2級</t>
        </is>
      </c>
      <c r="C8" s="10" t="inlineStr">
        <is>
          <t>部長</t>
        </is>
      </c>
      <c r="D8" s="8" t="inlineStr">
        <is>
          <t>管理職</t>
        </is>
      </c>
      <c r="E8" s="10" t="inlineStr">
        <is>
          <t>部門戦略立案・経営方針への貢献</t>
        </is>
      </c>
      <c r="F8" s="8" t="inlineStr">
        <is>
          <t>540,000</t>
        </is>
      </c>
      <c r="G8" s="8" t="inlineStr">
        <is>
          <t>680,000</t>
        </is>
      </c>
    </row>
    <row r="9" ht="20" customHeight="1">
      <c r="A9" s="5" t="inlineStr">
        <is>
          <t>G7</t>
        </is>
      </c>
      <c r="B9" s="7" t="inlineStr">
        <is>
          <t>エグゼクティブ</t>
        </is>
      </c>
      <c r="C9" s="7" t="inlineStr">
        <is>
          <t>本部長/役員</t>
        </is>
      </c>
      <c r="D9" s="5" t="inlineStr">
        <is>
          <t>経営職</t>
        </is>
      </c>
      <c r="E9" s="7" t="inlineStr">
        <is>
          <t>全社戦略の策定・意思決定・対外折衝</t>
        </is>
      </c>
      <c r="F9" s="5" t="inlineStr">
        <is>
          <t>680,000</t>
        </is>
      </c>
      <c r="G9" s="5" t="inlineStr">
        <is>
          <t>—</t>
        </is>
      </c>
    </row>
    <row r="10" ht="20" customHeight="1"/>
    <row r="11">
      <c r="A11" s="11" t="inlineStr">
        <is>
          <t>※ 給与レンジは月額（円）。等級数・名称は自社制度に合わせて変更してください。</t>
        </is>
      </c>
      <c r="B11" s="12" t="n"/>
      <c r="C11" s="12" t="n"/>
      <c r="D11" s="12" t="n"/>
      <c r="E11" s="12" t="n"/>
      <c r="F11" s="12" t="n"/>
      <c r="G11" s="13" t="n"/>
    </row>
  </sheetData>
  <mergeCells count="2">
    <mergeCell ref="A11:G11"/>
    <mergeCell ref="A1:G1"/>
  </mergeCells>
  <pageMargins left="0.75" right="0.75" top="1" bottom="1" header="0.5" footer="0.5"/>
  <pageSetup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8" customWidth="1" min="4" max="4"/>
    <col width="10" customWidth="1" min="5" max="5"/>
    <col width="16" customWidth="1" min="6" max="6"/>
    <col width="16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8" customWidth="1" min="13" max="13"/>
    <col width="16" customWidth="1" min="14" max="14"/>
    <col width="12" customWidth="1" min="15" max="15"/>
  </cols>
  <sheetData>
    <row r="1" ht="28" customHeight="1">
      <c r="A1" s="1" t="inlineStr">
        <is>
          <t>社員台帳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</row>
    <row r="2">
      <c r="A2" s="14" t="inlineStr">
        <is>
          <t>社員番号</t>
        </is>
      </c>
      <c r="B2" s="14" t="inlineStr">
        <is>
          <t>姓</t>
        </is>
      </c>
      <c r="C2" s="14" t="inlineStr">
        <is>
          <t>名</t>
        </is>
      </c>
      <c r="D2" s="14" t="inlineStr">
        <is>
          <t>性別</t>
        </is>
      </c>
      <c r="E2" s="14" t="inlineStr">
        <is>
          <t>生年月日</t>
        </is>
      </c>
      <c r="F2" s="14" t="inlineStr">
        <is>
          <t>所属部署</t>
        </is>
      </c>
      <c r="G2" s="14" t="inlineStr">
        <is>
          <t>職位名称</t>
        </is>
      </c>
      <c r="H2" s="14" t="inlineStr">
        <is>
          <t>等級</t>
        </is>
      </c>
      <c r="I2" s="14" t="inlineStr">
        <is>
          <t>雇用区分</t>
        </is>
      </c>
      <c r="J2" s="14" t="inlineStr">
        <is>
          <t>入社年月日</t>
        </is>
      </c>
      <c r="K2" s="14" t="inlineStr">
        <is>
          <t>在籍年数</t>
        </is>
      </c>
      <c r="L2" s="14" t="inlineStr">
        <is>
          <t>直属上長ID</t>
        </is>
      </c>
      <c r="M2" s="14" t="inlineStr">
        <is>
          <t>緊急連絡先</t>
        </is>
      </c>
      <c r="N2" s="14" t="inlineStr">
        <is>
          <t>メールアドレス</t>
        </is>
      </c>
      <c r="O2" s="14" t="inlineStr">
        <is>
          <t>備考</t>
        </is>
      </c>
    </row>
    <row r="3" ht="20" customHeight="1">
      <c r="A3" s="5" t="inlineStr">
        <is>
          <t>EMP001</t>
        </is>
      </c>
      <c r="B3" s="7" t="inlineStr">
        <is>
          <t>山田</t>
        </is>
      </c>
      <c r="C3" s="7" t="inlineStr">
        <is>
          <t>太郎</t>
        </is>
      </c>
      <c r="D3" s="5" t="inlineStr">
        <is>
          <t>男</t>
        </is>
      </c>
      <c r="E3" s="7" t="inlineStr">
        <is>
          <t>1985/04/15</t>
        </is>
      </c>
      <c r="F3" s="7" t="inlineStr">
        <is>
          <t>営業部</t>
        </is>
      </c>
      <c r="G3" s="7" t="inlineStr">
        <is>
          <t>課長</t>
        </is>
      </c>
      <c r="H3" s="5" t="inlineStr">
        <is>
          <t>G5</t>
        </is>
      </c>
      <c r="I3" s="5" t="inlineStr">
        <is>
          <t>正社員</t>
        </is>
      </c>
      <c r="J3" s="5" t="inlineStr">
        <is>
          <t>2010/04/01</t>
        </is>
      </c>
      <c r="K3" s="5">
        <f>DATEDIF(J3,TODAY(),"Y")&amp;"年"</f>
        <v/>
      </c>
      <c r="L3" s="7" t="inlineStr">
        <is>
          <t>EMP020</t>
        </is>
      </c>
      <c r="M3" s="7" t="inlineStr">
        <is>
          <t>090-XXXX-XXXX</t>
        </is>
      </c>
      <c r="N3" s="7" t="inlineStr">
        <is>
          <t>yamada@example.com</t>
        </is>
      </c>
      <c r="O3" s="7" t="inlineStr"/>
    </row>
    <row r="4" ht="20" customHeight="1">
      <c r="A4" s="8" t="inlineStr">
        <is>
          <t>EMP002</t>
        </is>
      </c>
      <c r="B4" s="10" t="inlineStr">
        <is>
          <t>佐藤</t>
        </is>
      </c>
      <c r="C4" s="10" t="inlineStr">
        <is>
          <t>花子</t>
        </is>
      </c>
      <c r="D4" s="8" t="inlineStr">
        <is>
          <t>女</t>
        </is>
      </c>
      <c r="E4" s="10" t="inlineStr">
        <is>
          <t>1992/08/20</t>
        </is>
      </c>
      <c r="F4" s="10" t="inlineStr">
        <is>
          <t>人事部</t>
        </is>
      </c>
      <c r="G4" s="10" t="inlineStr">
        <is>
          <t>シニアスタッフ</t>
        </is>
      </c>
      <c r="H4" s="8" t="inlineStr">
        <is>
          <t>G2</t>
        </is>
      </c>
      <c r="I4" s="8" t="inlineStr">
        <is>
          <t>正社員</t>
        </is>
      </c>
      <c r="J4" s="8" t="inlineStr">
        <is>
          <t>2016/04/01</t>
        </is>
      </c>
      <c r="K4" s="8">
        <f>DATEDIF(J4,TODAY(),"Y")&amp;"年"</f>
        <v/>
      </c>
      <c r="L4" s="10" t="inlineStr">
        <is>
          <t>EMP015</t>
        </is>
      </c>
      <c r="M4" s="10" t="inlineStr">
        <is>
          <t>090-XXXX-XXXX</t>
        </is>
      </c>
      <c r="N4" s="10" t="inlineStr">
        <is>
          <t>sato@example.com</t>
        </is>
      </c>
      <c r="O4" s="10" t="inlineStr">
        <is>
          <t>育休復帰</t>
        </is>
      </c>
    </row>
    <row r="5" ht="20" customHeight="1">
      <c r="A5" s="5" t="inlineStr">
        <is>
          <t>EMP003</t>
        </is>
      </c>
      <c r="B5" s="7" t="inlineStr">
        <is>
          <t>鈴木</t>
        </is>
      </c>
      <c r="C5" s="7" t="inlineStr">
        <is>
          <t>一郎</t>
        </is>
      </c>
      <c r="D5" s="5" t="inlineStr">
        <is>
          <t>男</t>
        </is>
      </c>
      <c r="E5" s="7" t="inlineStr">
        <is>
          <t>1990/11/03</t>
        </is>
      </c>
      <c r="F5" s="7" t="inlineStr">
        <is>
          <t>開発部</t>
        </is>
      </c>
      <c r="G5" s="7" t="inlineStr">
        <is>
          <t>チームリーダー</t>
        </is>
      </c>
      <c r="H5" s="5" t="inlineStr">
        <is>
          <t>G3</t>
        </is>
      </c>
      <c r="I5" s="5" t="inlineStr">
        <is>
          <t>正社員</t>
        </is>
      </c>
      <c r="J5" s="5" t="inlineStr">
        <is>
          <t>2014/04/01</t>
        </is>
      </c>
      <c r="K5" s="5">
        <f>DATEDIF(J5,TODAY(),"Y")&amp;"年"</f>
        <v/>
      </c>
      <c r="L5" s="7" t="inlineStr">
        <is>
          <t>EMP018</t>
        </is>
      </c>
      <c r="M5" s="7" t="inlineStr">
        <is>
          <t>090-XXXX-XXXX</t>
        </is>
      </c>
      <c r="N5" s="7" t="inlineStr">
        <is>
          <t>suzuki@example.com</t>
        </is>
      </c>
      <c r="O5" s="7" t="inlineStr"/>
    </row>
    <row r="6" ht="20" customHeight="1"/>
    <row r="7" ht="20" customHeight="1"/>
    <row r="8">
      <c r="A8" s="15" t="inlineStr">
        <is>
          <t>※ 個人情報の取り扱いには十分注意し、アクセス権限を適切に設定してください。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3" t="n"/>
    </row>
  </sheetData>
  <mergeCells count="2">
    <mergeCell ref="A1:O1"/>
    <mergeCell ref="A8:O8"/>
  </mergeCells>
  <pageMargins left="0.75" right="0.75" top="1" bottom="1" header="0.5" footer="0.5"/>
  <pageSetup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36" customWidth="1" min="5" max="5"/>
    <col width="10" customWidth="1" min="6" max="6"/>
    <col width="14" customWidth="1" min="7" max="7"/>
    <col width="10" customWidth="1" min="8" max="8"/>
    <col width="12" customWidth="1" min="9" max="9"/>
    <col width="12" customWidth="1" min="10" max="10"/>
    <col width="14" customWidth="1" min="11" max="11"/>
    <col width="20" customWidth="1" min="12" max="12"/>
  </cols>
  <sheetData>
    <row r="1" ht="28" customHeight="1">
      <c r="A1" s="1" t="inlineStr">
        <is>
          <t>目標管理シート（MBO）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>
      <c r="A2" s="16" t="inlineStr">
        <is>
          <t>評価期間：</t>
        </is>
      </c>
      <c r="B2" s="17" t="inlineStr">
        <is>
          <t>2025年度 上期</t>
        </is>
      </c>
      <c r="C2" s="12" t="n"/>
      <c r="D2" s="13" t="n"/>
      <c r="E2" s="16" t="inlineStr">
        <is>
          <t>社員番号：</t>
        </is>
      </c>
      <c r="F2" s="18" t="inlineStr"/>
      <c r="G2" s="16" t="inlineStr">
        <is>
          <t>氏名：</t>
        </is>
      </c>
      <c r="H2" s="18" t="inlineStr"/>
      <c r="I2" s="13" t="n"/>
      <c r="J2" s="16" t="inlineStr">
        <is>
          <t>所属：</t>
        </is>
      </c>
      <c r="K2" s="18" t="inlineStr"/>
      <c r="L2" s="13" t="n"/>
    </row>
    <row r="3" ht="36" customHeight="1">
      <c r="A3" s="14" t="inlineStr">
        <is>
          <t>No.</t>
        </is>
      </c>
      <c r="B3" s="14" t="inlineStr">
        <is>
          <t>目標カテゴリ</t>
        </is>
      </c>
      <c r="C3" s="14" t="inlineStr">
        <is>
          <t>重み
(%)</t>
        </is>
      </c>
      <c r="D3" s="14" t="inlineStr">
        <is>
          <t>難易度</t>
        </is>
      </c>
      <c r="E3" s="14" t="inlineStr">
        <is>
          <t>目標内容（具体的に記載）</t>
        </is>
      </c>
      <c r="F3" s="14" t="inlineStr">
        <is>
          <t>KPI
目標値</t>
        </is>
      </c>
      <c r="G3" s="14" t="inlineStr">
        <is>
          <t>KPI
実績値</t>
        </is>
      </c>
      <c r="H3" s="14" t="inlineStr">
        <is>
          <t>達成率
(%)</t>
        </is>
      </c>
      <c r="I3" s="14" t="inlineStr">
        <is>
          <t>自己評価
(S/A/B/C)</t>
        </is>
      </c>
      <c r="J3" s="14" t="inlineStr">
        <is>
          <t>一次評価
(S/A/B/C)</t>
        </is>
      </c>
      <c r="K3" s="14" t="inlineStr">
        <is>
          <t>評価コメント（上長）</t>
        </is>
      </c>
      <c r="L3" s="14" t="inlineStr">
        <is>
          <t>次期への申し送り事項</t>
        </is>
      </c>
    </row>
    <row r="4" ht="22" customHeight="1">
      <c r="A4" s="8" t="inlineStr">
        <is>
          <t>1</t>
        </is>
      </c>
      <c r="B4" s="10" t="inlineStr">
        <is>
          <t>業績目標</t>
        </is>
      </c>
      <c r="C4" s="8" t="inlineStr">
        <is>
          <t>40%</t>
        </is>
      </c>
      <c r="D4" s="8" t="inlineStr">
        <is>
          <t>A</t>
        </is>
      </c>
      <c r="E4" s="10" t="inlineStr">
        <is>
          <t>新規顧客獲得 XX件／月</t>
        </is>
      </c>
      <c r="F4" s="8" t="inlineStr">
        <is>
          <t>5件</t>
        </is>
      </c>
      <c r="G4" s="8" t="inlineStr"/>
      <c r="H4" s="8" t="inlineStr"/>
      <c r="I4" s="8" t="inlineStr"/>
      <c r="J4" s="8" t="inlineStr"/>
      <c r="K4" s="10" t="inlineStr"/>
      <c r="L4" s="10" t="inlineStr"/>
    </row>
    <row r="5" ht="22" customHeight="1">
      <c r="A5" s="5" t="inlineStr">
        <is>
          <t>2</t>
        </is>
      </c>
      <c r="B5" s="7" t="inlineStr">
        <is>
          <t>業績目標</t>
        </is>
      </c>
      <c r="C5" s="5" t="inlineStr">
        <is>
          <t>20%</t>
        </is>
      </c>
      <c r="D5" s="5" t="inlineStr">
        <is>
          <t>B</t>
        </is>
      </c>
      <c r="E5" s="7" t="inlineStr">
        <is>
          <t>既存顧客売上維持率 XX%以上</t>
        </is>
      </c>
      <c r="F5" s="5" t="inlineStr">
        <is>
          <t>95%</t>
        </is>
      </c>
      <c r="G5" s="5" t="inlineStr"/>
      <c r="H5" s="5" t="inlineStr"/>
      <c r="I5" s="5" t="inlineStr"/>
      <c r="J5" s="5" t="inlineStr"/>
      <c r="K5" s="7" t="inlineStr"/>
      <c r="L5" s="7" t="inlineStr"/>
    </row>
    <row r="6" ht="22" customHeight="1">
      <c r="A6" s="8" t="inlineStr">
        <is>
          <t>3</t>
        </is>
      </c>
      <c r="B6" s="10" t="inlineStr">
        <is>
          <t>組織目標</t>
        </is>
      </c>
      <c r="C6" s="8" t="inlineStr">
        <is>
          <t>20%</t>
        </is>
      </c>
      <c r="D6" s="8" t="inlineStr">
        <is>
          <t>B</t>
        </is>
      </c>
      <c r="E6" s="10" t="inlineStr">
        <is>
          <t>チーム残業時間削減（月XX時間以内）</t>
        </is>
      </c>
      <c r="F6" s="8" t="inlineStr">
        <is>
          <t>20h</t>
        </is>
      </c>
      <c r="G6" s="8" t="inlineStr"/>
      <c r="H6" s="8" t="inlineStr"/>
      <c r="I6" s="8" t="inlineStr"/>
      <c r="J6" s="8" t="inlineStr"/>
      <c r="K6" s="10" t="inlineStr"/>
      <c r="L6" s="10" t="inlineStr"/>
    </row>
    <row r="7" ht="22" customHeight="1">
      <c r="A7" s="5" t="inlineStr">
        <is>
          <t>4</t>
        </is>
      </c>
      <c r="B7" s="7" t="inlineStr">
        <is>
          <t>能力開発</t>
        </is>
      </c>
      <c r="C7" s="5" t="inlineStr">
        <is>
          <t>10%</t>
        </is>
      </c>
      <c r="D7" s="5" t="inlineStr">
        <is>
          <t>B</t>
        </is>
      </c>
      <c r="E7" s="7" t="inlineStr">
        <is>
          <t>資格取得：XX試験 合格</t>
        </is>
      </c>
      <c r="F7" s="5" t="inlineStr">
        <is>
          <t>合格</t>
        </is>
      </c>
      <c r="G7" s="5" t="inlineStr"/>
      <c r="H7" s="5" t="inlineStr"/>
      <c r="I7" s="5" t="inlineStr"/>
      <c r="J7" s="5" t="inlineStr"/>
      <c r="K7" s="7" t="inlineStr"/>
      <c r="L7" s="7" t="inlineStr"/>
    </row>
    <row r="8" ht="22" customHeight="1">
      <c r="A8" s="8" t="inlineStr">
        <is>
          <t>5</t>
        </is>
      </c>
      <c r="B8" s="10" t="inlineStr">
        <is>
          <t>その他</t>
        </is>
      </c>
      <c r="C8" s="8" t="inlineStr">
        <is>
          <t>10%</t>
        </is>
      </c>
      <c r="D8" s="8" t="inlineStr">
        <is>
          <t>C</t>
        </is>
      </c>
      <c r="E8" s="10" t="inlineStr">
        <is>
          <t>社内勉強会 企画・運営（XX回）</t>
        </is>
      </c>
      <c r="F8" s="8" t="inlineStr">
        <is>
          <t>2回</t>
        </is>
      </c>
      <c r="G8" s="8" t="inlineStr"/>
      <c r="H8" s="8" t="inlineStr"/>
      <c r="I8" s="8" t="inlineStr"/>
      <c r="J8" s="8" t="inlineStr"/>
      <c r="K8" s="10" t="inlineStr"/>
      <c r="L8" s="10" t="inlineStr"/>
    </row>
    <row r="9" ht="22" customHeight="1">
      <c r="A9" s="19" t="inlineStr"/>
      <c r="B9" s="20" t="inlineStr">
        <is>
          <t>合計</t>
        </is>
      </c>
      <c r="C9" s="19" t="inlineStr">
        <is>
          <t>100%</t>
        </is>
      </c>
      <c r="D9" s="19" t="inlineStr"/>
      <c r="E9" s="20" t="inlineStr"/>
      <c r="F9" s="19" t="inlineStr"/>
      <c r="G9" s="19" t="inlineStr"/>
      <c r="H9" s="19">
        <f>IFERROR(AVERAGE(H4:H8),"")</f>
        <v/>
      </c>
      <c r="I9" s="19" t="inlineStr"/>
      <c r="J9" s="19" t="inlineStr"/>
      <c r="K9" s="20" t="inlineStr"/>
      <c r="L9" s="20" t="inlineStr"/>
    </row>
    <row r="10" ht="22" customHeight="1">
      <c r="A10" s="21" t="inlineStr">
        <is>
          <t>【総合評価欄】</t>
        </is>
      </c>
      <c r="B10" s="13" t="n"/>
      <c r="C10" s="21" t="inlineStr">
        <is>
          <t>総合自己評価：</t>
        </is>
      </c>
      <c r="D10" s="13" t="n"/>
      <c r="E10" s="18" t="inlineStr"/>
      <c r="F10" s="21" t="inlineStr">
        <is>
          <t>総合一次評価：</t>
        </is>
      </c>
      <c r="G10" s="13" t="n"/>
      <c r="H10" s="18" t="inlineStr"/>
      <c r="I10" s="21" t="inlineStr">
        <is>
          <t>総合最終評価：</t>
        </is>
      </c>
      <c r="J10" s="13" t="n"/>
      <c r="K10" s="18" t="inlineStr"/>
      <c r="L10" s="13" t="n"/>
    </row>
    <row r="11" ht="22" customHeight="1">
      <c r="A11" s="21" t="inlineStr">
        <is>
          <t>【本人コメント】</t>
        </is>
      </c>
      <c r="B11" s="13" t="n"/>
      <c r="C11" s="7" t="inlineStr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3" t="n"/>
    </row>
    <row r="12">
      <c r="A12" s="22" t="inlineStr">
        <is>
          <t>評価基準：S=120%以上　A=100%以上　B=80%以上　C=80%未満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3" t="n"/>
    </row>
  </sheetData>
  <mergeCells count="12">
    <mergeCell ref="H2:I2"/>
    <mergeCell ref="C10:D10"/>
    <mergeCell ref="A12:L12"/>
    <mergeCell ref="F10:G10"/>
    <mergeCell ref="K2:L2"/>
    <mergeCell ref="I10:J10"/>
    <mergeCell ref="A1:L1"/>
    <mergeCell ref="A10:B10"/>
    <mergeCell ref="K10:L10"/>
    <mergeCell ref="A11:B11"/>
    <mergeCell ref="B2:D2"/>
    <mergeCell ref="C11:L11"/>
  </mergeCells>
  <pageMargins left="0.75" right="0.75" top="1" bottom="1" header="0.5" footer="0.5"/>
  <pageSetup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36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20" customWidth="1" min="11" max="11"/>
  </cols>
  <sheetData>
    <row r="1" ht="28" customHeight="1">
      <c r="A1" s="1" t="inlineStr">
        <is>
          <t>人事評価シート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4" t="inlineStr">
        <is>
          <t>社員番号</t>
        </is>
      </c>
      <c r="B2" s="4" t="inlineStr">
        <is>
          <t>氏名</t>
        </is>
      </c>
      <c r="C2" s="4" t="inlineStr">
        <is>
          <t>等級</t>
        </is>
      </c>
      <c r="D2" s="4" t="inlineStr">
        <is>
          <t>所属</t>
        </is>
      </c>
      <c r="E2" s="4" t="inlineStr">
        <is>
          <t>評価期間</t>
        </is>
      </c>
      <c r="F2" s="4" t="inlineStr">
        <is>
          <t>評価者</t>
        </is>
      </c>
    </row>
    <row r="3">
      <c r="A3" s="18" t="inlineStr"/>
      <c r="B3" s="18" t="inlineStr"/>
      <c r="C3" s="18" t="inlineStr"/>
      <c r="D3" s="18" t="inlineStr"/>
      <c r="E3" s="18" t="inlineStr"/>
      <c r="F3" s="18" t="inlineStr"/>
    </row>
    <row r="4" ht="36" customHeight="1">
      <c r="A4" s="14" t="inlineStr">
        <is>
          <t>評価区分</t>
        </is>
      </c>
      <c r="B4" s="14" t="inlineStr">
        <is>
          <t>評価項目</t>
        </is>
      </c>
      <c r="C4" s="13" t="n"/>
      <c r="D4" s="14" t="inlineStr">
        <is>
          <t>評価基準・着眼点</t>
        </is>
      </c>
      <c r="E4" s="14" t="inlineStr">
        <is>
          <t>重み
(%)</t>
        </is>
      </c>
      <c r="F4" s="14" t="inlineStr">
        <is>
          <t>自己評価
(1-5)</t>
        </is>
      </c>
      <c r="G4" s="14" t="inlineStr">
        <is>
          <t>一次評価
(1-5)</t>
        </is>
      </c>
      <c r="H4" s="14" t="inlineStr">
        <is>
          <t>二次評価
(1-5)</t>
        </is>
      </c>
      <c r="I4" s="14" t="inlineStr">
        <is>
          <t>最終評価
(1-5)</t>
        </is>
      </c>
      <c r="J4" s="14" t="inlineStr">
        <is>
          <t>加重点</t>
        </is>
      </c>
      <c r="K4" s="14" t="inlineStr">
        <is>
          <t>コメント</t>
        </is>
      </c>
    </row>
    <row r="5" ht="22" customHeight="1">
      <c r="A5" s="8" t="inlineStr">
        <is>
          <t>業績評価</t>
        </is>
      </c>
      <c r="B5" s="10" t="inlineStr">
        <is>
          <t>目標達成度</t>
        </is>
      </c>
      <c r="C5" s="13" t="n"/>
      <c r="D5" s="10" t="inlineStr">
        <is>
          <t>設定目標に対する達成率・成果の質</t>
        </is>
      </c>
      <c r="E5" s="8" t="inlineStr">
        <is>
          <t>40%</t>
        </is>
      </c>
      <c r="F5" s="23" t="inlineStr"/>
      <c r="G5" s="23" t="inlineStr"/>
      <c r="H5" s="23" t="inlineStr"/>
      <c r="I5" s="23" t="inlineStr"/>
      <c r="J5" s="19">
        <f>IF(I5&lt;&gt;"",I5*VALUE(SUBSTITUTE(E5,"%",""))/100,"")</f>
        <v/>
      </c>
      <c r="K5" s="7" t="inlineStr"/>
    </row>
    <row r="6" ht="22" customHeight="1">
      <c r="A6" s="5" t="inlineStr">
        <is>
          <t>業績評価</t>
        </is>
      </c>
      <c r="B6" s="7" t="inlineStr">
        <is>
          <t>生産性・効率性</t>
        </is>
      </c>
      <c r="C6" s="13" t="n"/>
      <c r="D6" s="7" t="inlineStr">
        <is>
          <t>同等成果を効率よく生み出せているか</t>
        </is>
      </c>
      <c r="E6" s="5" t="inlineStr">
        <is>
          <t>10%</t>
        </is>
      </c>
      <c r="F6" s="23" t="inlineStr"/>
      <c r="G6" s="23" t="inlineStr"/>
      <c r="H6" s="23" t="inlineStr"/>
      <c r="I6" s="23" t="inlineStr"/>
      <c r="J6" s="19">
        <f>IF(I6&lt;&gt;"",I6*VALUE(SUBSTITUTE(E6,"%",""))/100,"")</f>
        <v/>
      </c>
      <c r="K6" s="7" t="inlineStr"/>
    </row>
    <row r="7" ht="22" customHeight="1">
      <c r="A7" s="8" t="inlineStr">
        <is>
          <t>プロセス評価</t>
        </is>
      </c>
      <c r="B7" s="10" t="inlineStr">
        <is>
          <t>積極性・自律性</t>
        </is>
      </c>
      <c r="C7" s="13" t="n"/>
      <c r="D7" s="10" t="inlineStr">
        <is>
          <t>指示待ちでなく自ら動いているか</t>
        </is>
      </c>
      <c r="E7" s="8" t="inlineStr">
        <is>
          <t>10%</t>
        </is>
      </c>
      <c r="F7" s="23" t="inlineStr"/>
      <c r="G7" s="23" t="inlineStr"/>
      <c r="H7" s="23" t="inlineStr"/>
      <c r="I7" s="23" t="inlineStr"/>
      <c r="J7" s="19">
        <f>IF(I7&lt;&gt;"",I7*VALUE(SUBSTITUTE(E7,"%",""))/100,"")</f>
        <v/>
      </c>
      <c r="K7" s="7" t="inlineStr"/>
    </row>
    <row r="8" ht="22" customHeight="1">
      <c r="A8" s="5" t="inlineStr">
        <is>
          <t>プロセス評価</t>
        </is>
      </c>
      <c r="B8" s="7" t="inlineStr">
        <is>
          <t>チームワーク</t>
        </is>
      </c>
      <c r="C8" s="13" t="n"/>
      <c r="D8" s="7" t="inlineStr">
        <is>
          <t>協力・情報共有・後輩支援</t>
        </is>
      </c>
      <c r="E8" s="5" t="inlineStr">
        <is>
          <t>10%</t>
        </is>
      </c>
      <c r="F8" s="23" t="inlineStr"/>
      <c r="G8" s="23" t="inlineStr"/>
      <c r="H8" s="23" t="inlineStr"/>
      <c r="I8" s="23" t="inlineStr"/>
      <c r="J8" s="19">
        <f>IF(I8&lt;&gt;"",I8*VALUE(SUBSTITUTE(E8,"%",""))/100,"")</f>
        <v/>
      </c>
      <c r="K8" s="7" t="inlineStr"/>
    </row>
    <row r="9" ht="22" customHeight="1">
      <c r="A9" s="8" t="inlineStr">
        <is>
          <t>コンピテンシー評価</t>
        </is>
      </c>
      <c r="B9" s="10" t="inlineStr">
        <is>
          <t>専門知識・スキル</t>
        </is>
      </c>
      <c r="C9" s="13" t="n"/>
      <c r="D9" s="10" t="inlineStr">
        <is>
          <t>職務遂行に必要な知識・技術の習得度</t>
        </is>
      </c>
      <c r="E9" s="8" t="inlineStr">
        <is>
          <t>15%</t>
        </is>
      </c>
      <c r="F9" s="23" t="inlineStr"/>
      <c r="G9" s="23" t="inlineStr"/>
      <c r="H9" s="23" t="inlineStr"/>
      <c r="I9" s="23" t="inlineStr"/>
      <c r="J9" s="19">
        <f>IF(I9&lt;&gt;"",I9*VALUE(SUBSTITUTE(E9,"%",""))/100,"")</f>
        <v/>
      </c>
      <c r="K9" s="7" t="inlineStr"/>
    </row>
    <row r="10" ht="22" customHeight="1">
      <c r="A10" s="5" t="inlineStr">
        <is>
          <t>コンピテンシー評価</t>
        </is>
      </c>
      <c r="B10" s="7" t="inlineStr">
        <is>
          <t>課題解決力</t>
        </is>
      </c>
      <c r="C10" s="13" t="n"/>
      <c r="D10" s="7" t="inlineStr">
        <is>
          <t>問題の発見・分析・解決策の実行</t>
        </is>
      </c>
      <c r="E10" s="5" t="inlineStr">
        <is>
          <t>5%</t>
        </is>
      </c>
      <c r="F10" s="23" t="inlineStr"/>
      <c r="G10" s="23" t="inlineStr"/>
      <c r="H10" s="23" t="inlineStr"/>
      <c r="I10" s="23" t="inlineStr"/>
      <c r="J10" s="19">
        <f>IF(I10&lt;&gt;"",I10*VALUE(SUBSTITUTE(E10,"%",""))/100,"")</f>
        <v/>
      </c>
      <c r="K10" s="7" t="inlineStr"/>
    </row>
    <row r="11" ht="22" customHeight="1">
      <c r="A11" s="8" t="inlineStr">
        <is>
          <t>行動規範評価</t>
        </is>
      </c>
      <c r="B11" s="10" t="inlineStr">
        <is>
          <t>コンプライアンス</t>
        </is>
      </c>
      <c r="C11" s="13" t="n"/>
      <c r="D11" s="10" t="inlineStr">
        <is>
          <t>法令・社内規定の遵守</t>
        </is>
      </c>
      <c r="E11" s="8" t="inlineStr">
        <is>
          <t>5%</t>
        </is>
      </c>
      <c r="F11" s="23" t="inlineStr"/>
      <c r="G11" s="23" t="inlineStr"/>
      <c r="H11" s="23" t="inlineStr"/>
      <c r="I11" s="23" t="inlineStr"/>
      <c r="J11" s="19">
        <f>IF(I11&lt;&gt;"",I11*VALUE(SUBSTITUTE(E11,"%",""))/100,"")</f>
        <v/>
      </c>
      <c r="K11" s="7" t="inlineStr"/>
    </row>
    <row r="12" ht="22" customHeight="1">
      <c r="A12" s="5" t="inlineStr">
        <is>
          <t>行動規範評価</t>
        </is>
      </c>
      <c r="B12" s="7" t="inlineStr">
        <is>
          <t>顧客志向</t>
        </is>
      </c>
      <c r="C12" s="13" t="n"/>
      <c r="D12" s="7" t="inlineStr">
        <is>
          <t>顧客・関係者の期待に応える行動</t>
        </is>
      </c>
      <c r="E12" s="5" t="inlineStr">
        <is>
          <t>5%</t>
        </is>
      </c>
      <c r="F12" s="23" t="inlineStr"/>
      <c r="G12" s="23" t="inlineStr"/>
      <c r="H12" s="23" t="inlineStr"/>
      <c r="I12" s="23" t="inlineStr"/>
      <c r="J12" s="19">
        <f>IF(I12&lt;&gt;"",I12*VALUE(SUBSTITUTE(E12,"%",""))/100,"")</f>
        <v/>
      </c>
      <c r="K12" s="7" t="inlineStr"/>
    </row>
    <row r="13" ht="22" customHeight="1">
      <c r="A13" s="4" t="inlineStr">
        <is>
          <t>合計</t>
        </is>
      </c>
      <c r="B13" s="12" t="n"/>
      <c r="C13" s="12" t="n"/>
      <c r="D13" s="12" t="n"/>
      <c r="E13" s="13" t="n"/>
      <c r="F13" s="19">
        <f>IFERROR(AVERAGE(F5:F12),"")</f>
        <v/>
      </c>
      <c r="G13" s="19">
        <f>IFERROR(AVERAGE(G5:G12),"")</f>
        <v/>
      </c>
      <c r="H13" s="19">
        <f>IFERROR(AVERAGE(H5:H12),"")</f>
        <v/>
      </c>
      <c r="I13" s="19">
        <f>IFERROR(AVERAGE(I5:I12),"")</f>
        <v/>
      </c>
      <c r="J13" s="24">
        <f>IFERROR(SUM(J5:J12),"")</f>
        <v/>
      </c>
    </row>
    <row r="14" ht="22" customHeight="1">
      <c r="A14" s="22" t="inlineStr">
        <is>
          <t>評価基準：5=卓越　4=優秀　3=標準　2=改善要　1=不十分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3" t="n"/>
    </row>
  </sheetData>
  <mergeCells count="12">
    <mergeCell ref="B6:C6"/>
    <mergeCell ref="B7:C7"/>
    <mergeCell ref="B11:C11"/>
    <mergeCell ref="B5:C5"/>
    <mergeCell ref="B10:C10"/>
    <mergeCell ref="A14:K14"/>
    <mergeCell ref="A13:E13"/>
    <mergeCell ref="B9:C9"/>
    <mergeCell ref="B8:C8"/>
    <mergeCell ref="A1:K1"/>
    <mergeCell ref="B4:C4"/>
    <mergeCell ref="B12:C12"/>
  </mergeCells>
  <pageMargins left="0.75" right="0.75" top="1" bottom="1" header="0.5" footer="0.5"/>
  <pageSetup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0" customWidth="1" min="9" max="9"/>
    <col width="10" customWidth="1" min="10" max="10"/>
    <col width="20" customWidth="1" min="11" max="11"/>
    <col width="20" customWidth="1" min="12" max="12"/>
  </cols>
  <sheetData>
    <row r="1" ht="28" customHeight="1">
      <c r="A1" s="1" t="inlineStr">
        <is>
          <t>昇格・降格管理台帳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>
      <c r="A2" s="14" t="inlineStr">
        <is>
          <t>申請日</t>
        </is>
      </c>
      <c r="B2" s="14" t="inlineStr">
        <is>
          <t>氏名</t>
        </is>
      </c>
      <c r="C2" s="14" t="inlineStr">
        <is>
          <t>社員番号</t>
        </is>
      </c>
      <c r="D2" s="14" t="inlineStr">
        <is>
          <t>現等級</t>
        </is>
      </c>
      <c r="E2" s="14" t="inlineStr">
        <is>
          <t>変更後等級</t>
        </is>
      </c>
      <c r="F2" s="14" t="inlineStr">
        <is>
          <t>変更区分</t>
        </is>
      </c>
      <c r="G2" s="14" t="inlineStr">
        <is>
          <t>変更予定日</t>
        </is>
      </c>
      <c r="H2" s="14" t="inlineStr">
        <is>
          <t>申請者（上長）</t>
        </is>
      </c>
      <c r="I2" s="14" t="inlineStr">
        <is>
          <t>一次承認</t>
        </is>
      </c>
      <c r="J2" s="14" t="inlineStr">
        <is>
          <t>最終承認</t>
        </is>
      </c>
      <c r="K2" s="14" t="inlineStr">
        <is>
          <t>推薦理由</t>
        </is>
      </c>
      <c r="L2" s="14" t="inlineStr">
        <is>
          <t>備考</t>
        </is>
      </c>
    </row>
    <row r="3" ht="20" customHeight="1">
      <c r="A3" s="5" t="inlineStr">
        <is>
          <t>2025/04/01</t>
        </is>
      </c>
      <c r="B3" s="7" t="inlineStr">
        <is>
          <t>山田 太郎</t>
        </is>
      </c>
      <c r="C3" s="5" t="inlineStr">
        <is>
          <t>EMP001</t>
        </is>
      </c>
      <c r="D3" s="5" t="inlineStr">
        <is>
          <t>G4</t>
        </is>
      </c>
      <c r="E3" s="5" t="inlineStr">
        <is>
          <t>G5</t>
        </is>
      </c>
      <c r="F3" s="5" t="inlineStr">
        <is>
          <t>昇格</t>
        </is>
      </c>
      <c r="G3" s="5" t="inlineStr">
        <is>
          <t>2025/04/01</t>
        </is>
      </c>
      <c r="H3" s="7" t="inlineStr">
        <is>
          <t>部長 田中</t>
        </is>
      </c>
      <c r="I3" s="5" t="inlineStr">
        <is>
          <t>承認</t>
        </is>
      </c>
      <c r="J3" s="5" t="inlineStr">
        <is>
          <t>承認</t>
        </is>
      </c>
      <c r="K3" s="7" t="inlineStr">
        <is>
          <t>目標達成率120%、リーダーシップ発揮</t>
        </is>
      </c>
      <c r="L3" s="7" t="inlineStr"/>
    </row>
    <row r="4" ht="20" customHeight="1">
      <c r="A4" s="8" t="inlineStr">
        <is>
          <t>2025/04/01</t>
        </is>
      </c>
      <c r="B4" s="10" t="inlineStr">
        <is>
          <t>佐藤 花子</t>
        </is>
      </c>
      <c r="C4" s="8" t="inlineStr">
        <is>
          <t>EMP002</t>
        </is>
      </c>
      <c r="D4" s="8" t="inlineStr">
        <is>
          <t>G1</t>
        </is>
      </c>
      <c r="E4" s="8" t="inlineStr">
        <is>
          <t>G2</t>
        </is>
      </c>
      <c r="F4" s="8" t="inlineStr">
        <is>
          <t>昇格</t>
        </is>
      </c>
      <c r="G4" s="8" t="inlineStr">
        <is>
          <t>2025/04/01</t>
        </is>
      </c>
      <c r="H4" s="10" t="inlineStr">
        <is>
          <t>課長 鈴木</t>
        </is>
      </c>
      <c r="I4" s="8" t="inlineStr">
        <is>
          <t>承認</t>
        </is>
      </c>
      <c r="J4" s="8" t="inlineStr">
        <is>
          <t>承認</t>
        </is>
      </c>
      <c r="K4" s="10" t="inlineStr">
        <is>
          <t>業務習熟・後輩指導実績あり</t>
        </is>
      </c>
      <c r="L4" s="10" t="inlineStr"/>
    </row>
    <row r="5" ht="20" customHeight="1"/>
    <row r="6" ht="20" customHeight="1"/>
    <row r="7" ht="20" customHeight="1"/>
    <row r="8">
      <c r="A8" s="22" t="inlineStr">
        <is>
          <t>変更区分選択肢：昇格 / 降格 / 等級変更（横異動）/ その他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3" t="n"/>
    </row>
  </sheetData>
  <mergeCells count="2">
    <mergeCell ref="A8:L8"/>
    <mergeCell ref="A1:L1"/>
  </mergeCells>
  <pageMargins left="0.75" right="0.75" top="1" bottom="1" header="0.5" footer="0.5"/>
  <pageSetup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</cols>
  <sheetData>
    <row r="1" ht="28" customHeight="1">
      <c r="A1" s="1" t="inlineStr">
        <is>
          <t>給与・報酬管理台帳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>
      <c r="A2" s="14" t="inlineStr">
        <is>
          <t>社員番号</t>
        </is>
      </c>
      <c r="B2" s="14" t="inlineStr">
        <is>
          <t>氏名</t>
        </is>
      </c>
      <c r="C2" s="14" t="inlineStr">
        <is>
          <t>等級</t>
        </is>
      </c>
      <c r="D2" s="14" t="inlineStr">
        <is>
          <t>基本給</t>
        </is>
      </c>
      <c r="E2" s="14" t="inlineStr">
        <is>
          <t>職務手当</t>
        </is>
      </c>
      <c r="F2" s="14" t="inlineStr">
        <is>
          <t>通勤手当</t>
        </is>
      </c>
      <c r="G2" s="14" t="inlineStr">
        <is>
          <t>その他手当</t>
        </is>
      </c>
      <c r="H2" s="14" t="inlineStr">
        <is>
          <t>総支給額</t>
        </is>
      </c>
      <c r="I2" s="14" t="inlineStr">
        <is>
          <t>社保控除</t>
        </is>
      </c>
      <c r="J2" s="14" t="inlineStr">
        <is>
          <t>所得税</t>
        </is>
      </c>
      <c r="K2" s="14" t="inlineStr">
        <is>
          <t>差引支給額</t>
        </is>
      </c>
      <c r="L2" s="14" t="inlineStr">
        <is>
          <t>最終更新日</t>
        </is>
      </c>
    </row>
    <row r="3" ht="20" customHeight="1">
      <c r="A3" s="5" t="inlineStr">
        <is>
          <t>EMP001</t>
        </is>
      </c>
      <c r="B3" s="7" t="inlineStr">
        <is>
          <t>山田 太郎</t>
        </is>
      </c>
      <c r="C3" s="5" t="inlineStr">
        <is>
          <t>G5</t>
        </is>
      </c>
      <c r="D3" s="25" t="n">
        <v>450000</v>
      </c>
      <c r="E3" s="25" t="n">
        <v>50000</v>
      </c>
      <c r="F3" s="25" t="n">
        <v>15000</v>
      </c>
      <c r="G3" s="25" t="n">
        <v>0</v>
      </c>
      <c r="H3" s="25">
        <f>SUM(D3:G3)</f>
        <v/>
      </c>
      <c r="I3" s="25" t="n">
        <v>80000</v>
      </c>
      <c r="J3" s="25">
        <f>ROUND((H3-I3)*0.1,0)</f>
        <v/>
      </c>
      <c r="K3" s="25">
        <f>H3-I3-J3</f>
        <v/>
      </c>
      <c r="L3" s="5" t="inlineStr">
        <is>
          <t>2025/04/01</t>
        </is>
      </c>
    </row>
    <row r="4" ht="20" customHeight="1">
      <c r="A4" s="8" t="inlineStr">
        <is>
          <t>EMP002</t>
        </is>
      </c>
      <c r="B4" s="10" t="inlineStr">
        <is>
          <t>佐藤 花子</t>
        </is>
      </c>
      <c r="C4" s="8" t="inlineStr">
        <is>
          <t>G2</t>
        </is>
      </c>
      <c r="D4" s="26" t="n">
        <v>260000</v>
      </c>
      <c r="E4" s="26" t="n">
        <v>20000</v>
      </c>
      <c r="F4" s="26" t="n">
        <v>12000</v>
      </c>
      <c r="G4" s="26" t="n">
        <v>0</v>
      </c>
      <c r="H4" s="26">
        <f>SUM(D4:G4)</f>
        <v/>
      </c>
      <c r="I4" s="26" t="n">
        <v>50000</v>
      </c>
      <c r="J4" s="26">
        <f>ROUND((H4-I4)*0.1,0)</f>
        <v/>
      </c>
      <c r="K4" s="26">
        <f>H4-I4-J4</f>
        <v/>
      </c>
      <c r="L4" s="8" t="inlineStr">
        <is>
          <t>2025/04/01</t>
        </is>
      </c>
    </row>
    <row r="5" ht="20" customHeight="1">
      <c r="A5" s="5" t="inlineStr">
        <is>
          <t>EMP003</t>
        </is>
      </c>
      <c r="B5" s="7" t="inlineStr">
        <is>
          <t>鈴木 一郎</t>
        </is>
      </c>
      <c r="C5" s="5" t="inlineStr">
        <is>
          <t>G3</t>
        </is>
      </c>
      <c r="D5" s="25" t="n">
        <v>320000</v>
      </c>
      <c r="E5" s="25" t="n">
        <v>30000</v>
      </c>
      <c r="F5" s="25" t="n">
        <v>10000</v>
      </c>
      <c r="G5" s="25" t="n">
        <v>0</v>
      </c>
      <c r="H5" s="25">
        <f>SUM(D5:G5)</f>
        <v/>
      </c>
      <c r="I5" s="25" t="n">
        <v>60000</v>
      </c>
      <c r="J5" s="25">
        <f>ROUND((H5-I5)*0.1,0)</f>
        <v/>
      </c>
      <c r="K5" s="25">
        <f>H5-I5-J5</f>
        <v/>
      </c>
      <c r="L5" s="5" t="inlineStr">
        <is>
          <t>2025/04/01</t>
        </is>
      </c>
    </row>
    <row r="6" ht="20" customHeight="1"/>
    <row r="7" ht="20" customHeight="1"/>
    <row r="8">
      <c r="A8" s="15" t="inlineStr">
        <is>
          <t>※ 社保・税額は簡易計算。実際は給与計算システムと連携してください。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3" t="n"/>
    </row>
  </sheetData>
  <mergeCells count="2">
    <mergeCell ref="A8:L8"/>
    <mergeCell ref="A1:L1"/>
  </mergeCells>
  <pageMargins left="0.75" right="0.75" top="1" bottom="1" header="0.5" footer="0.5"/>
  <pageSetup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N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4" customWidth="1" min="11" max="11"/>
    <col width="14" customWidth="1" min="12" max="12"/>
    <col width="14" customWidth="1" min="13" max="13"/>
    <col width="16" customWidth="1" min="14" max="14"/>
  </cols>
  <sheetData>
    <row r="1" ht="28" customHeight="1">
      <c r="A1" s="1" t="inlineStr">
        <is>
          <t>採用管理台帳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>
      <c r="A2" s="14" t="inlineStr">
        <is>
          <t>応募番号</t>
        </is>
      </c>
      <c r="B2" s="14" t="inlineStr">
        <is>
          <t>氏名</t>
        </is>
      </c>
      <c r="C2" s="14" t="inlineStr">
        <is>
          <t>応募職種</t>
        </is>
      </c>
      <c r="D2" s="14" t="inlineStr">
        <is>
          <t>応募経路</t>
        </is>
      </c>
      <c r="E2" s="14" t="inlineStr">
        <is>
          <t>応募日</t>
        </is>
      </c>
      <c r="F2" s="14" t="inlineStr">
        <is>
          <t>書類選考</t>
        </is>
      </c>
      <c r="G2" s="14" t="inlineStr">
        <is>
          <t>一次面接</t>
        </is>
      </c>
      <c r="H2" s="14" t="inlineStr">
        <is>
          <t>二次面接</t>
        </is>
      </c>
      <c r="I2" s="14" t="inlineStr">
        <is>
          <t>最終面接</t>
        </is>
      </c>
      <c r="J2" s="14" t="inlineStr">
        <is>
          <t>内定日</t>
        </is>
      </c>
      <c r="K2" s="14" t="inlineStr">
        <is>
          <t>内定承諾</t>
        </is>
      </c>
      <c r="L2" s="14" t="inlineStr">
        <is>
          <t>入社予定日</t>
        </is>
      </c>
      <c r="M2" s="14" t="inlineStr">
        <is>
          <t>担当採用者</t>
        </is>
      </c>
      <c r="N2" s="14" t="inlineStr">
        <is>
          <t>備考・特記事項</t>
        </is>
      </c>
    </row>
    <row r="3" ht="20" customHeight="1">
      <c r="A3" s="5" t="inlineStr">
        <is>
          <t>R2025-001</t>
        </is>
      </c>
      <c r="B3" s="5" t="inlineStr">
        <is>
          <t>候補者 A</t>
        </is>
      </c>
      <c r="C3" s="5" t="inlineStr">
        <is>
          <t>エンジニア</t>
        </is>
      </c>
      <c r="D3" s="5" t="inlineStr">
        <is>
          <t>自社HP</t>
        </is>
      </c>
      <c r="E3" s="5" t="inlineStr">
        <is>
          <t>2025/03/01</t>
        </is>
      </c>
      <c r="F3" s="19" t="inlineStr">
        <is>
          <t>通過</t>
        </is>
      </c>
      <c r="G3" s="19" t="inlineStr">
        <is>
          <t>通過</t>
        </is>
      </c>
      <c r="H3" s="19" t="inlineStr">
        <is>
          <t>通過</t>
        </is>
      </c>
      <c r="I3" s="19" t="inlineStr">
        <is>
          <t>通過</t>
        </is>
      </c>
      <c r="J3" s="5" t="inlineStr">
        <is>
          <t>2025/03/20</t>
        </is>
      </c>
      <c r="K3" s="19" t="inlineStr">
        <is>
          <t>承諾</t>
        </is>
      </c>
      <c r="L3" s="5" t="inlineStr">
        <is>
          <t>2025/04/01</t>
        </is>
      </c>
      <c r="M3" s="5" t="inlineStr">
        <is>
          <t>採用担当 田中</t>
        </is>
      </c>
      <c r="N3" s="7" t="inlineStr"/>
    </row>
    <row r="4" ht="20" customHeight="1">
      <c r="A4" s="8" t="inlineStr">
        <is>
          <t>R2025-002</t>
        </is>
      </c>
      <c r="B4" s="8" t="inlineStr">
        <is>
          <t>候補者 B</t>
        </is>
      </c>
      <c r="C4" s="8" t="inlineStr">
        <is>
          <t>営業</t>
        </is>
      </c>
      <c r="D4" s="8" t="inlineStr">
        <is>
          <t>転職エージェント</t>
        </is>
      </c>
      <c r="E4" s="8" t="inlineStr">
        <is>
          <t>2025/03/05</t>
        </is>
      </c>
      <c r="F4" s="19" t="inlineStr">
        <is>
          <t>通過</t>
        </is>
      </c>
      <c r="G4" s="19" t="inlineStr">
        <is>
          <t>通過</t>
        </is>
      </c>
      <c r="H4" s="19" t="inlineStr">
        <is>
          <t>通過</t>
        </is>
      </c>
      <c r="I4" s="27" t="inlineStr">
        <is>
          <t>—</t>
        </is>
      </c>
      <c r="J4" s="27" t="inlineStr">
        <is>
          <t>—</t>
        </is>
      </c>
      <c r="K4" s="27" t="inlineStr">
        <is>
          <t>—</t>
        </is>
      </c>
      <c r="L4" s="8" t="inlineStr">
        <is>
          <t>—</t>
        </is>
      </c>
      <c r="M4" s="8" t="inlineStr">
        <is>
          <t>採用担当 山本</t>
        </is>
      </c>
      <c r="N4" s="10" t="inlineStr">
        <is>
          <t>最終面接調整中</t>
        </is>
      </c>
    </row>
    <row r="5" ht="20" customHeight="1">
      <c r="A5" s="5" t="inlineStr">
        <is>
          <t>R2025-003</t>
        </is>
      </c>
      <c r="B5" s="5" t="inlineStr">
        <is>
          <t>候補者 C</t>
        </is>
      </c>
      <c r="C5" s="5" t="inlineStr">
        <is>
          <t>デザイナー</t>
        </is>
      </c>
      <c r="D5" s="5" t="inlineStr">
        <is>
          <t>リファラル</t>
        </is>
      </c>
      <c r="E5" s="5" t="inlineStr">
        <is>
          <t>2025/03/10</t>
        </is>
      </c>
      <c r="F5" s="19" t="inlineStr">
        <is>
          <t>通過</t>
        </is>
      </c>
      <c r="G5" s="27" t="inlineStr">
        <is>
          <t>—</t>
        </is>
      </c>
      <c r="H5" s="27" t="inlineStr">
        <is>
          <t>—</t>
        </is>
      </c>
      <c r="I5" s="27" t="inlineStr">
        <is>
          <t>—</t>
        </is>
      </c>
      <c r="J5" s="27" t="inlineStr">
        <is>
          <t>—</t>
        </is>
      </c>
      <c r="K5" s="27" t="inlineStr">
        <is>
          <t>—</t>
        </is>
      </c>
      <c r="L5" s="5" t="inlineStr">
        <is>
          <t>—</t>
        </is>
      </c>
      <c r="M5" s="5" t="inlineStr">
        <is>
          <t>採用担当 田中</t>
        </is>
      </c>
      <c r="N5" s="7" t="inlineStr">
        <is>
          <t>一次面接設定中</t>
        </is>
      </c>
    </row>
    <row r="6" ht="20" customHeight="1"/>
    <row r="7" ht="20" customHeight="1"/>
    <row r="8">
      <c r="A8" s="22" t="inlineStr">
        <is>
          <t>応募経路選択肢：自社HP / 転職エージェント / リファラル / 求人サイト / 新卒媒体 / その他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3" t="n"/>
    </row>
  </sheetData>
  <mergeCells count="2">
    <mergeCell ref="A8:N8"/>
    <mergeCell ref="A1:N1"/>
  </mergeCells>
  <pageMargins left="0.75" right="0.75" top="1" bottom="1" header="0.5" footer="0.5"/>
  <pageSetup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20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</cols>
  <sheetData>
    <row r="1" ht="28" customHeight="1">
      <c r="A1" s="1" t="inlineStr">
        <is>
          <t>研修・育成管理台帳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>
      <c r="A2" s="14" t="inlineStr">
        <is>
          <t>社員番号</t>
        </is>
      </c>
      <c r="B2" s="14" t="inlineStr">
        <is>
          <t>氏名</t>
        </is>
      </c>
      <c r="C2" s="14" t="inlineStr">
        <is>
          <t>等級</t>
        </is>
      </c>
      <c r="D2" s="14" t="inlineStr">
        <is>
          <t>研修名称</t>
        </is>
      </c>
      <c r="E2" s="14" t="inlineStr">
        <is>
          <t>研修分類</t>
        </is>
      </c>
      <c r="F2" s="14" t="inlineStr">
        <is>
          <t>実施日</t>
        </is>
      </c>
      <c r="G2" s="14" t="inlineStr">
        <is>
          <t>時間数</t>
        </is>
      </c>
      <c r="H2" s="14" t="inlineStr">
        <is>
          <t>受講形態</t>
        </is>
      </c>
      <c r="I2" s="14" t="inlineStr">
        <is>
          <t>合否/修了</t>
        </is>
      </c>
      <c r="J2" s="14" t="inlineStr">
        <is>
          <t>取得スキル</t>
        </is>
      </c>
      <c r="K2" s="14" t="inlineStr">
        <is>
          <t>費用(円)</t>
        </is>
      </c>
      <c r="L2" s="14" t="inlineStr">
        <is>
          <t>備考</t>
        </is>
      </c>
    </row>
    <row r="3" ht="20" customHeight="1">
      <c r="A3" s="5" t="inlineStr">
        <is>
          <t>EMP001</t>
        </is>
      </c>
      <c r="B3" s="7" t="inlineStr">
        <is>
          <t>山田 太郎</t>
        </is>
      </c>
      <c r="C3" s="5" t="inlineStr">
        <is>
          <t>G5</t>
        </is>
      </c>
      <c r="D3" s="7" t="inlineStr">
        <is>
          <t>管理職研修 上級編</t>
        </is>
      </c>
      <c r="E3" s="5" t="inlineStr">
        <is>
          <t>マネジメント</t>
        </is>
      </c>
      <c r="F3" s="5" t="inlineStr">
        <is>
          <t>2025/02/10</t>
        </is>
      </c>
      <c r="G3" s="5" t="inlineStr">
        <is>
          <t>8h</t>
        </is>
      </c>
      <c r="H3" s="5" t="inlineStr">
        <is>
          <t>集合</t>
        </is>
      </c>
      <c r="I3" s="5" t="inlineStr">
        <is>
          <t>修了</t>
        </is>
      </c>
      <c r="J3" s="7" t="inlineStr">
        <is>
          <t>リーダーシップ</t>
        </is>
      </c>
      <c r="K3" s="5" t="inlineStr">
        <is>
          <t>50,000</t>
        </is>
      </c>
      <c r="L3" s="7" t="inlineStr">
        <is>
          <t>外部研修</t>
        </is>
      </c>
    </row>
    <row r="4" ht="20" customHeight="1">
      <c r="A4" s="8" t="inlineStr">
        <is>
          <t>EMP002</t>
        </is>
      </c>
      <c r="B4" s="10" t="inlineStr">
        <is>
          <t>佐藤 花子</t>
        </is>
      </c>
      <c r="C4" s="8" t="inlineStr">
        <is>
          <t>G2</t>
        </is>
      </c>
      <c r="D4" s="10" t="inlineStr">
        <is>
          <t>Excel上級講座</t>
        </is>
      </c>
      <c r="E4" s="8" t="inlineStr">
        <is>
          <t>ITスキル</t>
        </is>
      </c>
      <c r="F4" s="8" t="inlineStr">
        <is>
          <t>2025/01/20</t>
        </is>
      </c>
      <c r="G4" s="8" t="inlineStr">
        <is>
          <t>4h</t>
        </is>
      </c>
      <c r="H4" s="8" t="inlineStr">
        <is>
          <t>オンライン</t>
        </is>
      </c>
      <c r="I4" s="8" t="inlineStr">
        <is>
          <t>修了</t>
        </is>
      </c>
      <c r="J4" s="10" t="inlineStr">
        <is>
          <t>表計算</t>
        </is>
      </c>
      <c r="K4" s="8" t="inlineStr">
        <is>
          <t>5,000</t>
        </is>
      </c>
      <c r="L4" s="10" t="inlineStr"/>
    </row>
    <row r="5" ht="20" customHeight="1">
      <c r="A5" s="5" t="inlineStr">
        <is>
          <t>EMP003</t>
        </is>
      </c>
      <c r="B5" s="7" t="inlineStr">
        <is>
          <t>鈴木 一郎</t>
        </is>
      </c>
      <c r="C5" s="5" t="inlineStr">
        <is>
          <t>G3</t>
        </is>
      </c>
      <c r="D5" s="7" t="inlineStr">
        <is>
          <t>プロジェクトマネジメント</t>
        </is>
      </c>
      <c r="E5" s="5" t="inlineStr">
        <is>
          <t>専門</t>
        </is>
      </c>
      <c r="F5" s="5" t="inlineStr">
        <is>
          <t>2025/03/05</t>
        </is>
      </c>
      <c r="G5" s="5" t="inlineStr">
        <is>
          <t>16h</t>
        </is>
      </c>
      <c r="H5" s="5" t="inlineStr">
        <is>
          <t>集合</t>
        </is>
      </c>
      <c r="I5" s="5" t="inlineStr">
        <is>
          <t>受講中</t>
        </is>
      </c>
      <c r="J5" s="7" t="inlineStr">
        <is>
          <t>PM基礎</t>
        </is>
      </c>
      <c r="K5" s="5" t="inlineStr">
        <is>
          <t>30,000</t>
        </is>
      </c>
      <c r="L5" s="7" t="inlineStr">
        <is>
          <t>資格試験準備</t>
        </is>
      </c>
    </row>
    <row r="6" ht="20" customHeight="1"/>
    <row r="7" ht="20" customHeight="1"/>
    <row r="8">
      <c r="A8" s="22" t="inlineStr">
        <is>
          <t>受講形態選択肢：集合 / オンライン / OJT / 自己学習 / eラーニング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3" t="n"/>
    </row>
  </sheetData>
  <mergeCells count="2">
    <mergeCell ref="A8:L8"/>
    <mergeCell ref="A1:L1"/>
  </mergeCells>
  <pageMargins left="0.75" right="0.75" top="1" bottom="1" header="0.5" footer="0.5"/>
  <pageSetup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L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</cols>
  <sheetData>
    <row r="1" ht="28" customHeight="1">
      <c r="A1" s="1" t="inlineStr">
        <is>
          <t>入退社管理チェックリスト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2" customHeight="1">
      <c r="A2" s="4" t="inlineStr">
        <is>
          <t>社員番号</t>
        </is>
      </c>
      <c r="B2" s="4" t="inlineStr">
        <is>
          <t>氏名</t>
        </is>
      </c>
      <c r="C2" s="4" t="inlineStr">
        <is>
          <t>区分</t>
        </is>
      </c>
      <c r="D2" s="4" t="inlineStr">
        <is>
          <t>入退社日</t>
        </is>
      </c>
      <c r="E2" s="4" t="inlineStr">
        <is>
          <t>労務手続き</t>
        </is>
      </c>
      <c r="G2" s="4" t="inlineStr">
        <is>
          <t>IT・セキュリティ</t>
        </is>
      </c>
      <c r="I2" s="4" t="inlineStr">
        <is>
          <t>備品・資産</t>
        </is>
      </c>
      <c r="K2" s="4" t="inlineStr">
        <is>
          <t>担当者・備考</t>
        </is>
      </c>
    </row>
    <row r="3" ht="36" customHeight="1">
      <c r="E3" s="28" t="inlineStr">
        <is>
          <t>雇用保険
加入/脱退</t>
        </is>
      </c>
      <c r="F3" s="28" t="inlineStr">
        <is>
          <t>社保
手続き</t>
        </is>
      </c>
      <c r="G3" s="28" t="inlineStr">
        <is>
          <t>PC
払出/回収</t>
        </is>
      </c>
      <c r="H3" s="28" t="inlineStr">
        <is>
          <t>アカウント
設定/削除</t>
        </is>
      </c>
      <c r="I3" s="28" t="inlineStr">
        <is>
          <t>社員証
発行/返却</t>
        </is>
      </c>
      <c r="J3" s="28" t="inlineStr">
        <is>
          <t>備品
確認</t>
        </is>
      </c>
    </row>
    <row r="4" ht="22" customHeight="1">
      <c r="A4" s="8" t="inlineStr">
        <is>
          <t>EMP004</t>
        </is>
      </c>
      <c r="B4" s="10" t="inlineStr">
        <is>
          <t>新入 四郎</t>
        </is>
      </c>
      <c r="C4" s="8" t="inlineStr">
        <is>
          <t>入社</t>
        </is>
      </c>
      <c r="D4" s="8" t="inlineStr">
        <is>
          <t>2025/04/01</t>
        </is>
      </c>
      <c r="E4" s="19" t="inlineStr">
        <is>
          <t>済</t>
        </is>
      </c>
      <c r="F4" s="19" t="inlineStr">
        <is>
          <t>済</t>
        </is>
      </c>
      <c r="G4" s="19" t="inlineStr">
        <is>
          <t>済</t>
        </is>
      </c>
      <c r="H4" s="19" t="inlineStr">
        <is>
          <t>済</t>
        </is>
      </c>
      <c r="I4" s="19" t="inlineStr">
        <is>
          <t>済</t>
        </is>
      </c>
      <c r="J4" s="19" t="inlineStr">
        <is>
          <t>済</t>
        </is>
      </c>
      <c r="K4" s="10" t="inlineStr">
        <is>
          <t>人事 山田</t>
        </is>
      </c>
      <c r="L4" s="10" t="inlineStr">
        <is>
          <t>入社案内送付済</t>
        </is>
      </c>
    </row>
    <row r="5" ht="22" customHeight="1">
      <c r="A5" s="5" t="inlineStr">
        <is>
          <t>EMP010</t>
        </is>
      </c>
      <c r="B5" s="7" t="inlineStr">
        <is>
          <t>退職 十郎</t>
        </is>
      </c>
      <c r="C5" s="5" t="inlineStr">
        <is>
          <t>退社</t>
        </is>
      </c>
      <c r="D5" s="5" t="inlineStr">
        <is>
          <t>2025/03/31</t>
        </is>
      </c>
      <c r="E5" s="19" t="inlineStr">
        <is>
          <t>済</t>
        </is>
      </c>
      <c r="F5" s="19" t="inlineStr">
        <is>
          <t>済</t>
        </is>
      </c>
      <c r="G5" s="19" t="inlineStr">
        <is>
          <t>済</t>
        </is>
      </c>
      <c r="H5" s="23" t="inlineStr">
        <is>
          <t>処理中</t>
        </is>
      </c>
      <c r="I5" s="19" t="inlineStr">
        <is>
          <t>返却済</t>
        </is>
      </c>
      <c r="J5" s="29" t="inlineStr">
        <is>
          <t>未確認</t>
        </is>
      </c>
      <c r="K5" s="7" t="inlineStr">
        <is>
          <t>人事 佐藤</t>
        </is>
      </c>
      <c r="L5" s="7" t="inlineStr">
        <is>
          <t>離職票発行予定</t>
        </is>
      </c>
    </row>
    <row r="6" ht="22" customHeight="1"/>
    <row r="7" ht="22" customHeight="1"/>
    <row r="8" ht="22" customHeight="1"/>
    <row r="9">
      <c r="A9" s="22" t="inlineStr">
        <is>
          <t>チェック状態選択肢：済 / 処理中 / 未着手 / 不要</t>
        </is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3" t="n"/>
    </row>
  </sheetData>
  <mergeCells count="6">
    <mergeCell ref="G2:H2"/>
    <mergeCell ref="E2:F2"/>
    <mergeCell ref="K2:L2"/>
    <mergeCell ref="I2:J2"/>
    <mergeCell ref="A1:L1"/>
    <mergeCell ref="A9:L9"/>
  </mergeCells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2026-03-18T03:29:38Z</dcterms:created>
  <dcterms:modified xsi:type="dcterms:W3CDTF">2026-03-18T03:29:38Z</dcterms:modified>
</cp:coreProperties>
</file>